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E:\MapUp-DA-Assesment\MapUp-DA-Assessment-2024\"/>
    </mc:Choice>
  </mc:AlternateContent>
  <bookViews>
    <workbookView xWindow="0" yWindow="504" windowWidth="29400" windowHeight="16296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">Task_5!$B$10:$J$18</definedName>
    <definedName name="Table_A">Task_5!$A$8:$J$18</definedName>
    <definedName name="Table_B">Task_5!$M$8:$N$18</definedName>
    <definedName name="Table_C">Task_5!$A$21:$C$35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5" i="20"/>
  <c r="C34" i="20"/>
  <c r="C33" i="20"/>
  <c r="C32" i="20"/>
  <c r="C31" i="20"/>
  <c r="C30" i="20"/>
  <c r="C29" i="20"/>
  <c r="C28" i="20"/>
  <c r="C27" i="20"/>
  <c r="C26" i="20"/>
  <c r="C25" i="20"/>
  <c r="C24" i="20"/>
  <c r="B6" i="18"/>
  <c r="C22" i="19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E7" i="18"/>
  <c r="F7" i="18"/>
  <c r="E8" i="18"/>
  <c r="F8" i="18"/>
  <c r="E9" i="18"/>
  <c r="F9" i="18"/>
  <c r="E10" i="18"/>
  <c r="F10" i="18"/>
  <c r="E11" i="18"/>
  <c r="F11" i="18"/>
  <c r="E12" i="18"/>
  <c r="F12" i="18"/>
  <c r="E13" i="18"/>
  <c r="F13" i="18"/>
  <c r="E14" i="18"/>
  <c r="F14" i="18"/>
  <c r="E15" i="18"/>
  <c r="F15" i="18"/>
  <c r="E16" i="18"/>
  <c r="F16" i="18"/>
  <c r="E17" i="18"/>
  <c r="F17" i="18"/>
  <c r="E18" i="18"/>
  <c r="F18" i="18"/>
  <c r="E19" i="18"/>
  <c r="F19" i="18"/>
  <c r="E20" i="18"/>
  <c r="F20" i="18"/>
  <c r="E21" i="18"/>
  <c r="F21" i="18"/>
  <c r="E22" i="18"/>
  <c r="F22" i="18"/>
  <c r="E23" i="18"/>
  <c r="F23" i="18"/>
  <c r="E24" i="18"/>
  <c r="F24" i="18"/>
  <c r="E25" i="18"/>
  <c r="F25" i="18"/>
  <c r="E26" i="18"/>
  <c r="F26" i="18"/>
  <c r="E27" i="18"/>
  <c r="F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8" i="18"/>
  <c r="B9" i="18"/>
  <c r="B10" i="18"/>
  <c r="B11" i="18"/>
  <c r="B12" i="18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<sst xmlns="http://schemas.openxmlformats.org/spreadsheetml/2006/main" count="408" uniqueCount="185">
  <si>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</si>
  <si>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</si>
  <si>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</si>
  <si>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</si>
  <si>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</si>
  <si>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</si>
  <si>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</si>
  <si>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</si>
  <si>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</si>
  <si>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</si>
  <si>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</si>
  <si>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</si>
  <si>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</si>
  <si>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</si>
  <si>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</si>
  <si>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</si>
  <si>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</si>
  <si>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</si>
  <si>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</si>
  <si>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</si>
  <si>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</si>
  <si>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</si>
  <si>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</si>
  <si>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</si>
  <si>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</si>
  <si>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</si>
  <si>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</si>
  <si>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</si>
  <si>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</si>
  <si>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</si>
  <si>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</si>
  <si>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</si>
  <si>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</si>
  <si>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</si>
  <si>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</si>
  <si>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</si>
  <si>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</si>
  <si>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</si>
  <si>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</si>
  <si>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</si>
  <si>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</si>
  <si>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</si>
  <si>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</si>
  <si>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</si>
  <si>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</si>
  <si>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</si>
  <si>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</si>
  <si>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</si>
  <si>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</si>
  <si>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</si>
  <si>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</si>
  <si>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</si>
  <si>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</si>
  <si>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</si>
  <si>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</si>
  <si>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</si>
  <si>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</si>
  <si>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</si>
  <si>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</si>
  <si>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</si>
  <si>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</si>
  <si>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</si>
  <si>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</si>
  <si>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</si>
  <si>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</si>
  <si>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</si>
  <si>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</si>
  <si>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</si>
  <si>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</si>
  <si>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</si>
  <si>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</si>
  <si>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</si>
  <si>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</si>
  <si>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</si>
  <si>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</si>
  <si>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</si>
  <si>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</si>
  <si>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</si>
  <si>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</si>
  <si>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</si>
  <si>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</si>
  <si>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</si>
  <si>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</si>
  <si>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</si>
  <si>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</si>
  <si>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</si>
  <si>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</si>
  <si>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</si>
  <si>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</si>
  <si>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</si>
  <si>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</si>
  <si>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</si>
  <si>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</si>
  <si>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</si>
  <si>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</si>
  <si>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</si>
  <si>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</si>
  <si>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</si>
  <si>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</si>
  <si>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</si>
  <si>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</si>
  <si>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</si>
  <si>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</si>
  <si>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</si>
  <si>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</si>
  <si>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</si>
  <si>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</si>
  <si>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</si>
  <si>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</si>
  <si>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</si>
  <si>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</si>
  <si>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</si>
  <si>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</si>
  <si>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</si>
  <si>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</si>
  <si>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</si>
  <si>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</si>
  <si>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</si>
  <si>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</si>
  <si>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</si>
  <si>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</si>
  <si>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</si>
  <si>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</si>
  <si>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</si>
  <si>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</si>
  <si>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</si>
  <si>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</si>
  <si>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</si>
  <si>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</si>
  <si>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</si>
  <si>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</si>
  <si>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</si>
  <si>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</si>
  <si>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</si>
  <si>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</si>
  <si>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</si>
  <si>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</si>
  <si>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</si>
  <si>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</si>
  <si>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</si>
  <si>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</si>
  <si>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</si>
  <si>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</si>
  <si>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</si>
  <si>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</si>
  <si>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</si>
  <si>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</si>
  <si>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</si>
  <si>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</si>
  <si>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</si>
  <si>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</si>
  <si>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</si>
  <si>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</si>
  <si>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</si>
  <si>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</si>
  <si>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</si>
  <si>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</si>
  <si>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</si>
  <si>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</si>
  <si>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</si>
  <si>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</si>
  <si>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</si>
  <si>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</si>
  <si>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</si>
  <si>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</si>
  <si>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</si>
  <si>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</si>
  <si>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</si>
  <si>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</si>
  <si>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</si>
  <si>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</si>
  <si>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</si>
  <si>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</si>
  <si>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</si>
  <si>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</si>
  <si>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=SUMIF(H:H, "&gt;20")</t>
  </si>
  <si>
    <t>sum = 1473</t>
  </si>
  <si>
    <t>20000-Monday-0-Sunday-25</t>
  </si>
  <si>
    <t>To get the output I used "Text to Column" function from Data tab</t>
  </si>
  <si>
    <t>First I select all values from Table_A then I go to 'text to column' in 'Data tab'. Then I choose 'Delimited' and click Next. In Delimiters I select others and write '-' in  the box then click next. For the destination I choose the next cell and then click finish to print the data.</t>
  </si>
  <si>
    <t>All 20 values must be substituted with the value '20'</t>
  </si>
  <si>
    <t>Find and Replace, =SUM(C12:C21)</t>
  </si>
  <si>
    <t>Firsrt to change all N/A value to '20' I used Find and Replace. After change values I used =SUM(C12:C21) to find the sum of Table_A.</t>
  </si>
  <si>
    <t>INDEX(), MATCH()</t>
  </si>
  <si>
    <t>First I select Table_A and named it "Table_A" do same with Table_B. Then on cell C23 I write '=INDEX(Table, MATCH(A23, M10:M18, 0), MATCH(B23, M10:M18, 0))' to get output. MATCH() will provide output by checking name_1 and name_2 from Table_C and check its value in Table_B. After that we got 2 values for name_1 and name_2. To find the 'value' we use INDEX(). It will provide our final output which comes by the value indexing from Table_A. I printed that output on 'value'. Do it same to get more outputs.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</si>
</sst>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0" fontId="7" fillId="2" borderId="0" xfId="0" applyFont="1" applyFill="1" applyAlignment="1"/>
    <xf numFmtId="0" fontId="3" fillId="0" borderId="0" xfId="0" applyFont="1" applyAlignment="1"/>
    <xf numFmtId="167" fontId="7" fillId="0" borderId="0" xfId="0" applyNumberFormat="1" applyFont="1"/>
    <xf numFmtId="167" fontId="3" fillId="0" borderId="0" xfId="0" applyNumberFormat="1" applyFont="1"/>
    <xf numFmtId="0" fontId="3" fillId="0" borderId="7" xfId="0" applyFont="1" applyBorder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auto="1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174</v>
      </c>
      <c r="C4" s="1"/>
    </row>
    <row r="5" spans="1:3" x14ac:dyDescent="0.3">
      <c r="A5" s="2" t="s">
        <v>150</v>
      </c>
    </row>
    <row r="8" spans="1:3" x14ac:dyDescent="0.3">
      <c r="A8" s="2" t="s">
        <v>170</v>
      </c>
    </row>
    <row r="9" spans="1:3" x14ac:dyDescent="0.3">
      <c r="A9" s="34" t="s">
        <v>168</v>
      </c>
      <c r="B9" s="25" t="s">
        <v>166</v>
      </c>
    </row>
    <row r="10" spans="1:3" x14ac:dyDescent="0.3">
      <c r="A10" s="33" t="s">
        <v>169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167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topLeftCell="K1" zoomScaleNormal="100" workbookViewId="0">
      <pane ySplit="1" topLeftCell="A2" activePane="bottomLeft" state="frozen"/>
      <selection pane="bottomLeft" activeCell="A8" sqref="A8:XFD8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7" width="12.77734375" style="46" bestFit="1" customWidth="1"/>
    <col min="8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45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46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46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46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46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46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46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46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46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46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46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6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46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46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46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46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46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46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46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46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46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46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46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46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46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6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46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46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46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6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46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6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46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46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46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46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46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46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46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46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40">
    <cfRule type="cellIs" dxfId="2" priority="2" operator="equal">
      <formula>-1</formula>
    </cfRule>
  </conditionalFormatting>
  <conditionalFormatting sqref="G1:X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C2490E9C-9E3B-4F46-9E30-9C261864C4C9}">
            <xm:f>NOT(ISERROR(SEARCH(-1,A1)))</xm:f>
            <xm:f>-1</xm:f>
            <x14:dxf>
              <font>
                <color auto="1"/>
              </font>
              <fill>
                <patternFill patternType="none">
                  <bgColor auto="1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173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4" t="s">
        <v>175</v>
      </c>
      <c r="D5" s="1" t="s">
        <v>176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162</v>
      </c>
    </row>
    <row r="2" spans="1:7" s="39" customFormat="1" ht="21" x14ac:dyDescent="0.4">
      <c r="B2" s="39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160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49">
        <f>IFERROR(VLOOKUP(A6, Dataset!A:X, 7, FALSE), "Not Found")</f>
        <v>2.7</v>
      </c>
      <c r="C6" s="49">
        <f>IFERROR(VLOOKUP(A6, Dataset!A:X, 14, FALSE), "Not Found")</f>
        <v>7.6</v>
      </c>
      <c r="D6" s="49">
        <f>IFERROR(VLOOKUP(A6, Dataset!A:X, 18, FALSE), "Not Found")</f>
        <v>4.2</v>
      </c>
      <c r="E6" s="49">
        <f>IFERROR(VLOOKUP(A6, Dataset!A:X, 20, FALSE), "Not Found")</f>
        <v>8.9</v>
      </c>
      <c r="F6" s="49">
        <f>IFERROR(VLOOKUP(A6, Dataset!A:X, 22, FALSE), "Not Found")</f>
        <v>4.2</v>
      </c>
    </row>
    <row r="7" spans="1:7" ht="14.4" x14ac:dyDescent="0.3">
      <c r="A7" s="7" t="s">
        <v>4</v>
      </c>
      <c r="B7" s="49">
        <f>IFERROR(VLOOKUP(A7, Dataset!A:X, 7, FALSE), "Not Found")</f>
        <v>2.7</v>
      </c>
      <c r="C7" s="49">
        <f>IFERROR(VLOOKUP(A7, Dataset!A:X, 14, FALSE), "Not Found")</f>
        <v>7.6</v>
      </c>
      <c r="D7" s="49">
        <f>IFERROR(VLOOKUP(A7, Dataset!A:X, 18, FALSE), "Not Found")</f>
        <v>4.2</v>
      </c>
      <c r="E7" s="49">
        <f>IFERROR(VLOOKUP(A7, Dataset!A:X, 20, FALSE), "Not Found")</f>
        <v>8.9</v>
      </c>
      <c r="F7" s="49">
        <f>IFERROR(VLOOKUP(A7, Dataset!A:X, 22, FALSE), "Not Found")</f>
        <v>4.2</v>
      </c>
    </row>
    <row r="8" spans="1:7" ht="14.4" x14ac:dyDescent="0.3">
      <c r="A8" s="7" t="s">
        <v>7</v>
      </c>
      <c r="B8" s="49">
        <f>IFERROR(VLOOKUP(A8, Dataset!A:X, 7, FALSE), "Not Found")</f>
        <v>3.6</v>
      </c>
      <c r="C8" s="49">
        <f>IFERROR(VLOOKUP(A8, Dataset!A:X, 14, FALSE), "Not Found")</f>
        <v>11.1</v>
      </c>
      <c r="D8" s="49">
        <f>IFERROR(VLOOKUP(A8, Dataset!A:X, 18, FALSE), "Not Found")</f>
        <v>5.8</v>
      </c>
      <c r="E8" s="49">
        <f>IFERROR(VLOOKUP(A8, Dataset!A:X, 20, FALSE), "Not Found")</f>
        <v>12.2</v>
      </c>
      <c r="F8" s="49">
        <f>IFERROR(VLOOKUP(A8, Dataset!A:X, 22, FALSE), "Not Found")</f>
        <v>5.8</v>
      </c>
    </row>
    <row r="9" spans="1:7" ht="14.4" x14ac:dyDescent="0.3">
      <c r="A9" s="7" t="s">
        <v>8</v>
      </c>
      <c r="B9" s="49">
        <f>IFERROR(VLOOKUP(A9, Dataset!A:X, 7, FALSE), "Not Found")</f>
        <v>4.9000000000000004</v>
      </c>
      <c r="C9" s="49">
        <f>IFERROR(VLOOKUP(A9, Dataset!A:X, 14, FALSE), "Not Found")</f>
        <v>13.3</v>
      </c>
      <c r="D9" s="49">
        <f>IFERROR(VLOOKUP(A9, Dataset!A:X, 18, FALSE), "Not Found")</f>
        <v>8.1</v>
      </c>
      <c r="E9" s="49">
        <f>IFERROR(VLOOKUP(A9, Dataset!A:X, 20, FALSE), "Not Found")</f>
        <v>17</v>
      </c>
      <c r="F9" s="49">
        <f>IFERROR(VLOOKUP(A9, Dataset!A:X, 22, FALSE), "Not Found")</f>
        <v>8.1</v>
      </c>
    </row>
    <row r="10" spans="1:7" ht="14.4" x14ac:dyDescent="0.3">
      <c r="A10" s="7" t="s">
        <v>11</v>
      </c>
      <c r="B10" s="49">
        <f>IFERROR(VLOOKUP(A10, Dataset!A:X, 7, FALSE), "Not Found")</f>
        <v>9.4</v>
      </c>
      <c r="C10" s="49">
        <f>IFERROR(VLOOKUP(A10, Dataset!A:X, 14, FALSE), "Not Found")</f>
        <v>28.3</v>
      </c>
      <c r="D10" s="49">
        <f>IFERROR(VLOOKUP(A10, Dataset!A:X, 18, FALSE), "Not Found")</f>
        <v>16.100000000000001</v>
      </c>
      <c r="E10" s="49">
        <f>IFERROR(VLOOKUP(A10, Dataset!A:X, 20, FALSE), "Not Found")</f>
        <v>32.799999999999997</v>
      </c>
      <c r="F10" s="49">
        <f>IFERROR(VLOOKUP(A10, Dataset!A:X, 22, FALSE), "Not Found")</f>
        <v>16.100000000000001</v>
      </c>
    </row>
    <row r="11" spans="1:7" ht="14.4" x14ac:dyDescent="0.3">
      <c r="A11" s="7" t="s">
        <v>12</v>
      </c>
      <c r="B11" s="49">
        <f>IFERROR(VLOOKUP(A11, Dataset!A:X, 7, FALSE), "Not Found")</f>
        <v>11.6</v>
      </c>
      <c r="C11" s="49">
        <f>IFERROR(VLOOKUP(A11, Dataset!A:X, 14, FALSE), "Not Found")</f>
        <v>35.200000000000003</v>
      </c>
      <c r="D11" s="49">
        <f>IFERROR(VLOOKUP(A11, Dataset!A:X, 18, FALSE), "Not Found")</f>
        <v>21.3</v>
      </c>
      <c r="E11" s="49">
        <f>IFERROR(VLOOKUP(A11, Dataset!A:X, 20, FALSE), "Not Found")</f>
        <v>43</v>
      </c>
      <c r="F11" s="49">
        <f>IFERROR(VLOOKUP(A11, Dataset!A:X, 22, FALSE), "Not Found")</f>
        <v>21.3</v>
      </c>
    </row>
    <row r="12" spans="1:7" ht="14.4" x14ac:dyDescent="0.3">
      <c r="A12" s="7" t="s">
        <v>14</v>
      </c>
      <c r="B12" s="49">
        <f>IFERROR(VLOOKUP(A12, Dataset!A:X, 7, FALSE), "Not Found")</f>
        <v>18.399999999999999</v>
      </c>
      <c r="C12" s="49">
        <f>IFERROR(VLOOKUP(A12, Dataset!A:X, 14, FALSE), "Not Found")</f>
        <v>55.6</v>
      </c>
      <c r="D12" s="49">
        <f>IFERROR(VLOOKUP(A12, Dataset!A:X, 18, FALSE), "Not Found")</f>
        <v>33.799999999999997</v>
      </c>
      <c r="E12" s="49">
        <f>IFERROR(VLOOKUP(A12, Dataset!A:X, 20, FALSE), "Not Found")</f>
        <v>67.900000000000006</v>
      </c>
      <c r="F12" s="49">
        <f>IFERROR(VLOOKUP(A12, Dataset!A:X, 22, FALSE), "Not Found")</f>
        <v>33.799999999999997</v>
      </c>
    </row>
    <row r="13" spans="1:7" ht="14.4" x14ac:dyDescent="0.3">
      <c r="A13" s="7" t="s">
        <v>15</v>
      </c>
      <c r="B13" s="49">
        <f>IFERROR(VLOOKUP(A13, Dataset!A:X, 7, FALSE), "Not Found")</f>
        <v>0</v>
      </c>
      <c r="C13" s="49">
        <f>IFERROR(VLOOKUP(A13, Dataset!A:X, 14, FALSE), "Not Found")</f>
        <v>0</v>
      </c>
      <c r="D13" s="49">
        <f>IFERROR(VLOOKUP(A13, Dataset!A:X, 18, FALSE), "Not Found")</f>
        <v>0</v>
      </c>
      <c r="E13" s="49">
        <f>IFERROR(VLOOKUP(A13, Dataset!A:X, 20, FALSE), "Not Found")</f>
        <v>0</v>
      </c>
      <c r="F13" s="49">
        <f>IFERROR(VLOOKUP(A13, Dataset!A:X, 22, FALSE), "Not Found")</f>
        <v>0</v>
      </c>
    </row>
    <row r="14" spans="1:7" ht="14.4" x14ac:dyDescent="0.3">
      <c r="A14" s="7" t="s">
        <v>16</v>
      </c>
      <c r="B14" s="49">
        <f>IFERROR(VLOOKUP(A14, Dataset!A:X, 7, FALSE), "Not Found")</f>
        <v>21.9</v>
      </c>
      <c r="C14" s="49">
        <f>IFERROR(VLOOKUP(A14, Dataset!A:X, 14, FALSE), "Not Found")</f>
        <v>61.5</v>
      </c>
      <c r="D14" s="49">
        <f>IFERROR(VLOOKUP(A14, Dataset!A:X, 18, FALSE), "Not Found")</f>
        <v>40.1</v>
      </c>
      <c r="E14" s="49">
        <f>IFERROR(VLOOKUP(A14, Dataset!A:X, 20, FALSE), "Not Found")</f>
        <v>76.599999999999994</v>
      </c>
      <c r="F14" s="49">
        <f>IFERROR(VLOOKUP(A14, Dataset!A:X, 22, FALSE), "Not Found")</f>
        <v>40.1</v>
      </c>
    </row>
    <row r="15" spans="1:7" ht="14.4" x14ac:dyDescent="0.3">
      <c r="A15" s="7" t="s">
        <v>18</v>
      </c>
      <c r="B15" s="49">
        <f>IFERROR(VLOOKUP(A15, Dataset!A:X, 7, FALSE), "Not Found")</f>
        <v>26.8</v>
      </c>
      <c r="C15" s="49">
        <f>IFERROR(VLOOKUP(A15, Dataset!A:X, 14, FALSE), "Not Found")</f>
        <v>79.599999999999994</v>
      </c>
      <c r="D15" s="49">
        <f>IFERROR(VLOOKUP(A15, Dataset!A:X, 18, FALSE), "Not Found")</f>
        <v>47.9</v>
      </c>
      <c r="E15" s="49">
        <f>IFERROR(VLOOKUP(A15, Dataset!A:X, 20, FALSE), "Not Found")</f>
        <v>96.8</v>
      </c>
      <c r="F15" s="49">
        <f>IFERROR(VLOOKUP(A15, Dataset!A:X, 22, FALSE), "Not Found")</f>
        <v>47.9</v>
      </c>
    </row>
    <row r="16" spans="1:7" ht="14.4" x14ac:dyDescent="0.3">
      <c r="A16" s="7" t="s">
        <v>20</v>
      </c>
      <c r="B16" s="49">
        <f>IFERROR(VLOOKUP(A16, Dataset!A:X, 7, FALSE), "Not Found")</f>
        <v>28.5</v>
      </c>
      <c r="C16" s="49">
        <f>IFERROR(VLOOKUP(A16, Dataset!A:X, 14, FALSE), "Not Found")</f>
        <v>85.4</v>
      </c>
      <c r="D16" s="49">
        <f>IFERROR(VLOOKUP(A16, Dataset!A:X, 18, FALSE), "Not Found")</f>
        <v>52.3</v>
      </c>
      <c r="E16" s="49">
        <f>IFERROR(VLOOKUP(A16, Dataset!A:X, 20, FALSE), "Not Found")</f>
        <v>106.1</v>
      </c>
      <c r="F16" s="49">
        <f>IFERROR(VLOOKUP(A16, Dataset!A:X, 22, FALSE), "Not Found")</f>
        <v>52.3</v>
      </c>
    </row>
    <row r="17" spans="1:6" ht="14.4" x14ac:dyDescent="0.3">
      <c r="A17" s="7" t="s">
        <v>22</v>
      </c>
      <c r="B17" s="49">
        <f>IFERROR(VLOOKUP(A17, Dataset!A:X, 7, FALSE), "Not Found")</f>
        <v>30.7</v>
      </c>
      <c r="C17" s="49">
        <f>IFERROR(VLOOKUP(A17, Dataset!A:X, 14, FALSE), "Not Found")</f>
        <v>92.1</v>
      </c>
      <c r="D17" s="49">
        <f>IFERROR(VLOOKUP(A17, Dataset!A:X, 18, FALSE), "Not Found")</f>
        <v>57</v>
      </c>
      <c r="E17" s="49">
        <f>IFERROR(VLOOKUP(A17, Dataset!A:X, 20, FALSE), "Not Found")</f>
        <v>115.1</v>
      </c>
      <c r="F17" s="49">
        <f>IFERROR(VLOOKUP(A17, Dataset!A:X, 22, FALSE), "Not Found")</f>
        <v>57</v>
      </c>
    </row>
    <row r="18" spans="1:6" ht="14.4" x14ac:dyDescent="0.3">
      <c r="A18" s="7" t="s">
        <v>23</v>
      </c>
      <c r="B18" s="49">
        <f>IFERROR(VLOOKUP(A18, Dataset!A:X, 7, FALSE), "Not Found")</f>
        <v>33.799999999999997</v>
      </c>
      <c r="C18" s="49">
        <f>IFERROR(VLOOKUP(A18, Dataset!A:X, 14, FALSE), "Not Found")</f>
        <v>101.3</v>
      </c>
      <c r="D18" s="49">
        <f>IFERROR(VLOOKUP(A18, Dataset!A:X, 18, FALSE), "Not Found")</f>
        <v>61.4</v>
      </c>
      <c r="E18" s="49">
        <f>IFERROR(VLOOKUP(A18, Dataset!A:X, 20, FALSE), "Not Found")</f>
        <v>124.4</v>
      </c>
      <c r="F18" s="49">
        <f>IFERROR(VLOOKUP(A18, Dataset!A:X, 22, FALSE), "Not Found")</f>
        <v>61.4</v>
      </c>
    </row>
    <row r="19" spans="1:6" ht="14.4" x14ac:dyDescent="0.3">
      <c r="A19" s="7" t="s">
        <v>24</v>
      </c>
      <c r="B19" s="49">
        <f>IFERROR(VLOOKUP(A19, Dataset!A:X, 7, FALSE), "Not Found")</f>
        <v>34.700000000000003</v>
      </c>
      <c r="C19" s="49">
        <f>IFERROR(VLOOKUP(A19, Dataset!A:X, 14, FALSE), "Not Found")</f>
        <v>106.1</v>
      </c>
      <c r="D19" s="49">
        <f>IFERROR(VLOOKUP(A19, Dataset!A:X, 18, FALSE), "Not Found")</f>
        <v>63.6</v>
      </c>
      <c r="E19" s="49">
        <f>IFERROR(VLOOKUP(A19, Dataset!A:X, 20, FALSE), "Not Found")</f>
        <v>128.6</v>
      </c>
      <c r="F19" s="49">
        <f>IFERROR(VLOOKUP(A19, Dataset!A:X, 22, FALSE), "Not Found")</f>
        <v>63.6</v>
      </c>
    </row>
    <row r="20" spans="1:6" ht="14.4" x14ac:dyDescent="0.3">
      <c r="A20" s="7" t="s">
        <v>28</v>
      </c>
      <c r="B20" s="49">
        <f>IFERROR(VLOOKUP(A20, Dataset!A:X, 7, FALSE), "Not Found")</f>
        <v>0</v>
      </c>
      <c r="C20" s="49">
        <f>IFERROR(VLOOKUP(A20, Dataset!A:X, 14, FALSE), "Not Found")</f>
        <v>0</v>
      </c>
      <c r="D20" s="49">
        <f>IFERROR(VLOOKUP(A20, Dataset!A:X, 18, FALSE), "Not Found")</f>
        <v>0</v>
      </c>
      <c r="E20" s="49">
        <f>IFERROR(VLOOKUP(A20, Dataset!A:X, 20, FALSE), "Not Found")</f>
        <v>0</v>
      </c>
      <c r="F20" s="49">
        <f>IFERROR(VLOOKUP(A20, Dataset!A:X, 22, FALSE), "Not Found")</f>
        <v>0</v>
      </c>
    </row>
    <row r="21" spans="1:6" ht="14.4" x14ac:dyDescent="0.3">
      <c r="A21" s="7" t="s">
        <v>57</v>
      </c>
      <c r="B21" s="49">
        <f>IFERROR(VLOOKUP(A21, Dataset!A:X, 7, FALSE), "Not Found")</f>
        <v>41.3</v>
      </c>
      <c r="C21" s="49">
        <f>IFERROR(VLOOKUP(A21, Dataset!A:X, 14, FALSE), "Not Found")</f>
        <v>124.4</v>
      </c>
      <c r="D21" s="49">
        <f>IFERROR(VLOOKUP(A21, Dataset!A:X, 18, FALSE), "Not Found")</f>
        <v>75</v>
      </c>
      <c r="E21" s="49">
        <f>IFERROR(VLOOKUP(A21, Dataset!A:X, 20, FALSE), "Not Found")</f>
        <v>151.5</v>
      </c>
      <c r="F21" s="49">
        <f>IFERROR(VLOOKUP(A21, Dataset!A:X, 22, FALSE), "Not Found")</f>
        <v>75</v>
      </c>
    </row>
    <row r="22" spans="1:6" ht="14.4" x14ac:dyDescent="0.3">
      <c r="A22" s="7" t="s">
        <v>58</v>
      </c>
      <c r="B22" s="49">
        <f>IFERROR(VLOOKUP(A22, Dataset!A:X, 7, FALSE), "Not Found")</f>
        <v>-1</v>
      </c>
      <c r="C22" s="49">
        <f>IFERROR(VLOOKUP(A22, Dataset!A:X, 14, FALSE), "Not Found")</f>
        <v>-1</v>
      </c>
      <c r="D22" s="49">
        <f>IFERROR(VLOOKUP(A22, Dataset!A:X, 18, FALSE), "Not Found")</f>
        <v>-1</v>
      </c>
      <c r="E22" s="49">
        <f>IFERROR(VLOOKUP(A22, Dataset!A:X, 20, FALSE), "Not Found")</f>
        <v>-1</v>
      </c>
      <c r="F22" s="49">
        <f>IFERROR(VLOOKUP(A22, Dataset!A:X, 22, FALSE), "Not Found")</f>
        <v>-1</v>
      </c>
    </row>
    <row r="23" spans="1:6" ht="14.4" x14ac:dyDescent="0.3">
      <c r="A23" s="7" t="s">
        <v>31</v>
      </c>
      <c r="B23" s="49">
        <f>IFERROR(VLOOKUP(A23, Dataset!A:X, 7, FALSE), "Not Found")</f>
        <v>45</v>
      </c>
      <c r="C23" s="49">
        <f>IFERROR(VLOOKUP(A23, Dataset!A:X, 14, FALSE), "Not Found")</f>
        <v>133.4</v>
      </c>
      <c r="D23" s="49">
        <f>IFERROR(VLOOKUP(A23, Dataset!A:X, 18, FALSE), "Not Found")</f>
        <v>79.400000000000006</v>
      </c>
      <c r="E23" s="49">
        <f>IFERROR(VLOOKUP(A23, Dataset!A:X, 20, FALSE), "Not Found")</f>
        <v>160.9</v>
      </c>
      <c r="F23" s="49">
        <f>IFERROR(VLOOKUP(A23, Dataset!A:X, 22, FALSE), "Not Found")</f>
        <v>79.400000000000006</v>
      </c>
    </row>
    <row r="24" spans="1:6" ht="14.4" x14ac:dyDescent="0.3">
      <c r="A24" s="7" t="s">
        <v>32</v>
      </c>
      <c r="B24" s="49">
        <f>IFERROR(VLOOKUP(A24, Dataset!A:X, 7, FALSE), "Not Found")</f>
        <v>-1</v>
      </c>
      <c r="C24" s="49">
        <f>IFERROR(VLOOKUP(A24, Dataset!A:X, 14, FALSE), "Not Found")</f>
        <v>-1</v>
      </c>
      <c r="D24" s="49">
        <f>IFERROR(VLOOKUP(A24, Dataset!A:X, 18, FALSE), "Not Found")</f>
        <v>-1</v>
      </c>
      <c r="E24" s="49">
        <f>IFERROR(VLOOKUP(A24, Dataset!A:X, 20, FALSE), "Not Found")</f>
        <v>-1</v>
      </c>
      <c r="F24" s="49">
        <f>IFERROR(VLOOKUP(A24, Dataset!A:X, 22, FALSE), "Not Found")</f>
        <v>-1</v>
      </c>
    </row>
    <row r="25" spans="1:6" ht="14.4" x14ac:dyDescent="0.3">
      <c r="A25" s="7" t="s">
        <v>34</v>
      </c>
      <c r="B25" s="49">
        <f>IFERROR(VLOOKUP(A25, Dataset!A:X, 7, FALSE), "Not Found")</f>
        <v>43.3</v>
      </c>
      <c r="C25" s="49">
        <f>IFERROR(VLOOKUP(A25, Dataset!A:X, 14, FALSE), "Not Found")</f>
        <v>128.6</v>
      </c>
      <c r="D25" s="49">
        <f>IFERROR(VLOOKUP(A25, Dataset!A:X, 18, FALSE), "Not Found")</f>
        <v>79.400000000000006</v>
      </c>
      <c r="E25" s="49">
        <f>IFERROR(VLOOKUP(A25, Dataset!A:X, 20, FALSE), "Not Found")</f>
        <v>160.9</v>
      </c>
      <c r="F25" s="49">
        <f>IFERROR(VLOOKUP(A25, Dataset!A:X, 22, FALSE), "Not Found")</f>
        <v>79.400000000000006</v>
      </c>
    </row>
    <row r="26" spans="1:6" ht="14.4" x14ac:dyDescent="0.3">
      <c r="A26" s="7" t="s">
        <v>37</v>
      </c>
      <c r="B26" s="49">
        <f>IFERROR(VLOOKUP(A26, Dataset!A:X, 7, FALSE), "Not Found")</f>
        <v>49.1</v>
      </c>
      <c r="C26" s="49">
        <f>IFERROR(VLOOKUP(A26, Dataset!A:X, 14, FALSE), "Not Found")</f>
        <v>146.80000000000001</v>
      </c>
      <c r="D26" s="49">
        <f>IFERROR(VLOOKUP(A26, Dataset!A:X, 18, FALSE), "Not Found")</f>
        <v>90.9</v>
      </c>
      <c r="E26" s="49">
        <f>IFERROR(VLOOKUP(A26, Dataset!A:X, 20, FALSE), "Not Found")</f>
        <v>183.5</v>
      </c>
      <c r="F26" s="49">
        <f>IFERROR(VLOOKUP(A26, Dataset!A:X, 22, FALSE), "Not Found")</f>
        <v>90.9</v>
      </c>
    </row>
    <row r="27" spans="1:6" ht="14.4" x14ac:dyDescent="0.3">
      <c r="A27" s="7" t="s">
        <v>39</v>
      </c>
      <c r="B27" s="49">
        <f>IFERROR(VLOOKUP(A27, Dataset!A:X, 7, FALSE), "Not Found")</f>
        <v>51.8</v>
      </c>
      <c r="C27" s="49">
        <f>IFERROR(VLOOKUP(A27, Dataset!A:X, 14, FALSE), "Not Found")</f>
        <v>156.4</v>
      </c>
      <c r="D27" s="49">
        <f>IFERROR(VLOOKUP(A27, Dataset!A:X, 18, FALSE), "Not Found")</f>
        <v>93.1</v>
      </c>
      <c r="E27" s="49">
        <f>IFERROR(VLOOKUP(A27, Dataset!A:X, 20, FALSE), "Not Found")</f>
        <v>188.1</v>
      </c>
      <c r="F27" s="49">
        <f>IFERROR(VLOOKUP(A27, Dataset!A:X, 22, FALSE), "Not Found")</f>
        <v>93.1</v>
      </c>
    </row>
    <row r="28" spans="1:6" ht="14.4" x14ac:dyDescent="0.3">
      <c r="A28" s="18" t="s">
        <v>82</v>
      </c>
      <c r="B28" s="30">
        <f>MIN(B8:B27)</f>
        <v>-1</v>
      </c>
      <c r="C28" s="30">
        <f t="shared" ref="C28:F28" si="0">MIN(C8:C27)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MAX(B8:B27)</f>
        <v>51.8</v>
      </c>
      <c r="C29" s="30">
        <f t="shared" ref="C29:F29" si="1">MAX(C8:C27)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AVERAGE(B8:B27)</f>
        <v>22.64</v>
      </c>
      <c r="C30" s="30">
        <f t="shared" ref="C30:F30" si="2">AVERAGE(C8:C27)</f>
        <v>67.85499999999999</v>
      </c>
      <c r="D30" s="30">
        <f t="shared" si="2"/>
        <v>41.16</v>
      </c>
      <c r="E30" s="30">
        <f t="shared" si="2"/>
        <v>83.17</v>
      </c>
      <c r="F30" s="30">
        <f t="shared" si="2"/>
        <v>41.16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171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41" t="s">
        <v>53</v>
      </c>
      <c r="B5" s="38" t="s">
        <v>178</v>
      </c>
    </row>
    <row r="6" spans="1:10" ht="18" x14ac:dyDescent="0.35">
      <c r="A6" s="41" t="s">
        <v>151</v>
      </c>
      <c r="B6" s="38" t="s">
        <v>179</v>
      </c>
    </row>
    <row r="7" spans="1:10" ht="18" x14ac:dyDescent="0.35">
      <c r="A7" s="41"/>
      <c r="B7" s="38"/>
    </row>
    <row r="9" spans="1:10" ht="23.4" x14ac:dyDescent="0.45">
      <c r="A9" s="17" t="s">
        <v>163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160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177</v>
      </c>
      <c r="B17" s="11">
        <v>20000</v>
      </c>
      <c r="C17" s="1" t="s">
        <v>5</v>
      </c>
      <c r="D17" s="11">
        <v>0</v>
      </c>
      <c r="E17" s="1" t="s">
        <v>6</v>
      </c>
      <c r="F17" s="11">
        <v>25</v>
      </c>
    </row>
    <row r="18" spans="1:6" x14ac:dyDescent="0.3">
      <c r="A18" s="7" t="s">
        <v>121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122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123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124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125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126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127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128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129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130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131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132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133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134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135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136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137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138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139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140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141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142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143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144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145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146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147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148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164</v>
      </c>
    </row>
    <row r="2" spans="1:3" ht="18" x14ac:dyDescent="0.35">
      <c r="B2" s="38" t="s">
        <v>180</v>
      </c>
    </row>
    <row r="5" spans="1:3" ht="14.4" x14ac:dyDescent="0.3">
      <c r="B5" s="1" t="s">
        <v>149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151</v>
      </c>
      <c r="B7" s="1" t="s">
        <v>182</v>
      </c>
    </row>
    <row r="10" spans="1:3" ht="23.4" x14ac:dyDescent="0.45">
      <c r="A10" s="17" t="s">
        <v>160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152</v>
      </c>
      <c r="C17" s="16">
        <v>150</v>
      </c>
    </row>
    <row r="18" spans="1:3" ht="14.4" x14ac:dyDescent="0.3">
      <c r="A18" s="31">
        <v>44933</v>
      </c>
      <c r="B18" s="16" t="s">
        <v>153</v>
      </c>
      <c r="C18" s="16">
        <v>80</v>
      </c>
    </row>
    <row r="19" spans="1:3" ht="14.4" x14ac:dyDescent="0.3">
      <c r="A19" s="31">
        <v>44934</v>
      </c>
      <c r="B19" s="16" t="s">
        <v>154</v>
      </c>
      <c r="C19" s="16">
        <v>20</v>
      </c>
    </row>
    <row r="20" spans="1:3" ht="14.4" x14ac:dyDescent="0.3">
      <c r="A20" s="31">
        <v>44935</v>
      </c>
      <c r="B20" s="16" t="s">
        <v>155</v>
      </c>
      <c r="C20" s="16">
        <v>30</v>
      </c>
    </row>
    <row r="21" spans="1:3" ht="14.4" x14ac:dyDescent="0.3">
      <c r="A21" s="31">
        <v>44936</v>
      </c>
      <c r="B21" s="16" t="s">
        <v>156</v>
      </c>
      <c r="C21" s="16">
        <v>20</v>
      </c>
    </row>
    <row r="22" spans="1:3" ht="14.4" x14ac:dyDescent="0.3">
      <c r="B22" s="16" t="s">
        <v>157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172</v>
      </c>
    </row>
    <row r="3" spans="1:14" ht="14.4" x14ac:dyDescent="0.3">
      <c r="B3" s="1" t="s">
        <v>149</v>
      </c>
    </row>
    <row r="4" spans="1:14" ht="18" x14ac:dyDescent="0.35">
      <c r="A4" s="41" t="s">
        <v>53</v>
      </c>
      <c r="B4" s="1" t="s">
        <v>183</v>
      </c>
    </row>
    <row r="5" spans="1:14" ht="18" x14ac:dyDescent="0.35">
      <c r="A5" s="41" t="s">
        <v>151</v>
      </c>
      <c r="B5" s="1" t="s">
        <v>184</v>
      </c>
    </row>
    <row r="6" spans="1:14" ht="14.4" x14ac:dyDescent="0.3">
      <c r="A6" s="3"/>
      <c r="B6" s="1"/>
    </row>
    <row r="8" spans="1:14" ht="23.4" x14ac:dyDescent="0.45">
      <c r="A8" s="17" t="s">
        <v>160</v>
      </c>
      <c r="M8" s="17" t="s">
        <v>161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165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2">
        <f>INDEX(Table, MATCH(A23, M10:M18, 0), MATCH(B23, M10:M18, 0))</f>
        <v>95</v>
      </c>
    </row>
    <row r="24" spans="1:14" ht="14.4" x14ac:dyDescent="0.3">
      <c r="A24" s="7">
        <v>10100</v>
      </c>
      <c r="B24" s="11">
        <v>10104</v>
      </c>
      <c r="C24">
        <f>INDEX(Table, MATCH(A24, M10:M18, 0), MATCH(B24, M10:M18, 0))</f>
        <v>-1</v>
      </c>
    </row>
    <row r="25" spans="1:14" ht="14.4" x14ac:dyDescent="0.3">
      <c r="A25" s="7">
        <v>10108</v>
      </c>
      <c r="B25" s="11">
        <v>10102</v>
      </c>
      <c r="C25" s="42">
        <f>INDEX(Table, MATCH(A25, M10:M18, 0), MATCH(B25, M10:M18, 0))</f>
        <v>160</v>
      </c>
    </row>
    <row r="26" spans="1:14" ht="14.4" x14ac:dyDescent="0.3">
      <c r="A26" s="7">
        <v>10100</v>
      </c>
      <c r="B26" s="11">
        <v>10106</v>
      </c>
      <c r="C26" s="42">
        <f>INDEX(Table, MATCH(A26, M10:M18, 0), MATCH(B26, M10:M18, 0))</f>
        <v>185</v>
      </c>
    </row>
    <row r="27" spans="1:14" ht="14.4" x14ac:dyDescent="0.3">
      <c r="A27" s="7">
        <v>10108</v>
      </c>
      <c r="B27" s="11">
        <v>10110</v>
      </c>
      <c r="C27" s="42">
        <f>INDEX(Table, MATCH(A27, M10:M18, 0), MATCH(B27, M10:M18, 0))</f>
        <v>50</v>
      </c>
    </row>
    <row r="28" spans="1:14" ht="14.4" x14ac:dyDescent="0.3">
      <c r="A28" s="7">
        <v>10102</v>
      </c>
      <c r="B28" s="11">
        <v>10104</v>
      </c>
      <c r="C28" s="42">
        <f>INDEX(Table, MATCH(A28, M10:M18, 0), MATCH(B28, M10:M18, 0))</f>
        <v>-1</v>
      </c>
    </row>
    <row r="29" spans="1:14" ht="14.4" x14ac:dyDescent="0.3">
      <c r="A29" s="7">
        <v>10106</v>
      </c>
      <c r="B29" s="11">
        <v>10108</v>
      </c>
      <c r="C29" s="42">
        <f>INDEX(Table, MATCH(A29, M10:M18, 0), MATCH(B29, M10:M18, 0))</f>
        <v>70</v>
      </c>
    </row>
    <row r="30" spans="1:14" ht="14.4" x14ac:dyDescent="0.3">
      <c r="A30" s="7">
        <v>10102</v>
      </c>
      <c r="B30" s="11">
        <v>10106</v>
      </c>
      <c r="C30" s="42">
        <f>INDEX(Table, MATCH(A30, M10:M18, 0), MATCH(B30, M10:M18, 0))</f>
        <v>90</v>
      </c>
    </row>
    <row r="31" spans="1:14" ht="14.4" x14ac:dyDescent="0.3">
      <c r="A31" s="7">
        <v>10110</v>
      </c>
      <c r="B31" s="11">
        <v>10114</v>
      </c>
      <c r="C31" s="42">
        <f>INDEX(Table, MATCH(A31, M10:M18, 0), MATCH(B31, M10:M18, 0))</f>
        <v>180</v>
      </c>
    </row>
    <row r="32" spans="1:14" ht="14.4" x14ac:dyDescent="0.3">
      <c r="A32" s="7">
        <v>10104</v>
      </c>
      <c r="B32" s="11">
        <v>10106</v>
      </c>
      <c r="C32" s="42">
        <f>INDEX(Table, MATCH(A32, M10:M18, 0), MATCH(B32, M10:M18, 0))</f>
        <v>60</v>
      </c>
    </row>
    <row r="33" spans="1:3" ht="14.4" x14ac:dyDescent="0.3">
      <c r="A33" s="7">
        <v>10110</v>
      </c>
      <c r="B33" s="11">
        <v>10112</v>
      </c>
      <c r="C33" s="42">
        <f>INDEX(Table, MATCH(A33, M10:M18, 0), MATCH(B33, M10:M18, 0))</f>
        <v>115</v>
      </c>
    </row>
    <row r="34" spans="1:3" ht="14.4" x14ac:dyDescent="0.3">
      <c r="A34" s="7">
        <v>10100</v>
      </c>
      <c r="B34" s="11">
        <v>10114</v>
      </c>
      <c r="C34" s="42">
        <f>INDEX(Table, MATCH(A34, M10:M18, 0), MATCH(B34, M10:M18, 0))</f>
        <v>480</v>
      </c>
    </row>
    <row r="35" spans="1:3" ht="14.4" x14ac:dyDescent="0.3">
      <c r="A35" s="8">
        <v>10112</v>
      </c>
      <c r="B35" s="12">
        <v>10116</v>
      </c>
      <c r="C35" s="43">
        <f>INDEX(Table, MATCH(A35, M10:M18, 0), MATCH(B35, M10:M18,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Table</vt:lpstr>
      <vt:lpstr>Table_A</vt:lpstr>
      <vt:lpstr>Table_B</vt:lpstr>
      <vt:lpstr>Table_C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2024-10-21T11:09:40Z</dcterms:modified>
</cp:coreProperties>
</file>